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ST Invoices VBA Excel\gst-invoice-VBA-excel\VBA01\"/>
    </mc:Choice>
  </mc:AlternateContent>
  <xr:revisionPtr revIDLastSave="0" documentId="13_ncr:1_{95C005C6-7957-4DAF-B2BB-327021C211EF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functionGroups builtInGroupCount="19"/>
  <definedNames>
    <definedName name="cusd">Sheet1!$B$6:$D$9</definedName>
    <definedName name="customer_address">Sheet1!$B$7</definedName>
    <definedName name="customer_details">Sheet1!$A$5:$D$9</definedName>
    <definedName name="customer_mobile_or_gstin">Sheet1!$B$9</definedName>
    <definedName name="customer_name">Sheet1!$B$6</definedName>
    <definedName name="customername">Sheet1!$B$6</definedName>
    <definedName name="discount">Sheet1!$G$11:$G$27</definedName>
    <definedName name="hsn">Sheet1!$C$11:$C$27</definedName>
    <definedName name="invoice_number">Sheet1!$G$5</definedName>
    <definedName name="invoicenumber">Sheet1!$G$5</definedName>
    <definedName name="_xlnm.Print_Area" localSheetId="0">Sheet1!$A$1:$I$37</definedName>
    <definedName name="product_description">Sheet1!$B$11:$B$27</definedName>
    <definedName name="qty">Sheet1!$D$11:$D$27</definedName>
    <definedName name="rate">Sheet1!$E$11:$E$27</definedName>
    <definedName name="s_no">Sheet1!$A$11:$A$27</definedName>
    <definedName name="total_amount">Sheet1!$H$31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" l="1"/>
  <c r="G29" i="1" l="1"/>
  <c r="G30" i="1" l="1"/>
  <c r="F17" i="1"/>
  <c r="H17" i="1" s="1"/>
  <c r="F12" i="1"/>
  <c r="H12" i="1" s="1"/>
  <c r="F13" i="1"/>
  <c r="H13" i="1" s="1"/>
  <c r="F14" i="1"/>
  <c r="H14" i="1" s="1"/>
  <c r="F15" i="1"/>
  <c r="H15" i="1" s="1"/>
  <c r="F16" i="1"/>
  <c r="H16" i="1" s="1"/>
  <c r="F18" i="1"/>
  <c r="H18" i="1" s="1"/>
  <c r="F19" i="1"/>
  <c r="H19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26" i="1"/>
  <c r="H26" i="1" s="1"/>
  <c r="F27" i="1"/>
  <c r="H27" i="1" s="1"/>
  <c r="F11" i="1"/>
  <c r="H11" i="1" s="1"/>
  <c r="G6" i="1" l="1"/>
  <c r="H28" i="1"/>
  <c r="H29" i="1" l="1"/>
  <c r="H30" i="1"/>
  <c r="H31" i="1" l="1"/>
  <c r="A29" i="1"/>
</calcChain>
</file>

<file path=xl/sharedStrings.xml><?xml version="1.0" encoding="utf-8"?>
<sst xmlns="http://schemas.openxmlformats.org/spreadsheetml/2006/main" count="35" uniqueCount="35">
  <si>
    <r>
      <rPr>
        <sz val="11.5"/>
        <rFont val="Times New Roman"/>
      </rPr>
      <t>Name:</t>
    </r>
  </si>
  <si>
    <r>
      <rPr>
        <sz val="11.5"/>
        <rFont val="Times New Roman"/>
      </rPr>
      <t>Total Invoice amount in words</t>
    </r>
  </si>
  <si>
    <r>
      <rPr>
        <sz val="11.5"/>
        <rFont val="Times New Roman"/>
      </rPr>
      <t>Total Amount before Tax</t>
    </r>
  </si>
  <si>
    <r>
      <rPr>
        <sz val="11.5"/>
        <rFont val="Times New Roman"/>
      </rPr>
      <t>Bank Details</t>
    </r>
  </si>
  <si>
    <t>HSN
Code</t>
  </si>
  <si>
    <t>Tax Invoice</t>
  </si>
  <si>
    <t>S.No</t>
  </si>
  <si>
    <t>Product Description</t>
  </si>
  <si>
    <t>Qty</t>
  </si>
  <si>
    <t>Rate</t>
  </si>
  <si>
    <t>Amount</t>
  </si>
  <si>
    <t>Discount</t>
  </si>
  <si>
    <t>Taxable Value</t>
  </si>
  <si>
    <t xml:space="preserve">Add: CGST-  </t>
  </si>
  <si>
    <t xml:space="preserve">Add: SGST-   </t>
  </si>
  <si>
    <r>
      <t xml:space="preserve">Bank A/C No.:
</t>
    </r>
    <r>
      <rPr>
        <sz val="11.5"/>
        <rFont val="Times New Roman"/>
      </rPr>
      <t xml:space="preserve">Bank Name :
</t>
    </r>
    <r>
      <rPr>
        <sz val="11.5"/>
        <rFont val="Times New Roman"/>
      </rPr>
      <t xml:space="preserve">Branch Name :
</t>
    </r>
    <r>
      <rPr>
        <sz val="11.5"/>
        <rFont val="Times New Roman"/>
      </rPr>
      <t>Bank IFSC Code :</t>
    </r>
  </si>
  <si>
    <t>Grand Total :</t>
  </si>
  <si>
    <t>To</t>
  </si>
  <si>
    <t xml:space="preserve">Invoice No            :           </t>
  </si>
  <si>
    <t xml:space="preserve">Invoice date          :      </t>
  </si>
  <si>
    <t xml:space="preserve">Reverse Charage   : </t>
  </si>
  <si>
    <t>State                     :</t>
  </si>
  <si>
    <t xml:space="preserve">Pincode                 : </t>
  </si>
  <si>
    <t>Andhra Pradhesh</t>
  </si>
  <si>
    <t>Mobile :</t>
  </si>
  <si>
    <t>Address:</t>
  </si>
  <si>
    <r>
      <rPr>
        <b/>
        <sz val="22"/>
        <rFont val="Times New Roman"/>
        <family val="1"/>
      </rPr>
      <t>Company Name</t>
    </r>
    <r>
      <rPr>
        <sz val="12"/>
        <rFont val="Times New Roman"/>
        <family val="1"/>
      </rPr>
      <t xml:space="preserve">
NO - 00, ABC Road, ABC PURAM, Nellore,Andhra Pradesh PIN: 524001
Tel: +91 1234567890
GSTIN: 33AAAA0000A1Z5</t>
    </r>
  </si>
  <si>
    <t>GST %</t>
  </si>
  <si>
    <t xml:space="preserve">Computer Generated Invoice              </t>
  </si>
  <si>
    <t xml:space="preserve">Terms &amp; Conditions :
</t>
  </si>
  <si>
    <t xml:space="preserve">Ceritified that the particulars given above
are true and correct
For ABC &amp; Co
Authorised signatory
</t>
  </si>
  <si>
    <t xml:space="preserve">Invoice Number </t>
  </si>
  <si>
    <t>-</t>
  </si>
  <si>
    <t>Invoice Template  Created by @charanteja379  Contact   Email " charanteja379@gmail.com" For password to remove this lines 
                                                                                                     /** Password Costs  INR  100/- only  **/</t>
  </si>
  <si>
    <t>Invoice Template ID = VBA01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</si>
</sst>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&quot;₹&quot;\ #,##0.00"/>
    <numFmt numFmtId="166" formatCode="\ 0;\-0;;@"/>
  </numFmts>
  <fonts count="12" x14ac:knownFonts="1">
    <font>
      <sz val="11"/>
      <color rgb="FF000000"/>
      <name val="Calibri"/>
      <family val="2"/>
    </font>
    <font>
      <sz val="11.5"/>
      <name val="Times New Roman"/>
    </font>
    <font>
      <b/>
      <sz val="11.5"/>
      <name val="Times New Roman"/>
      <family val="1"/>
    </font>
    <font>
      <sz val="12"/>
      <name val="Times New Roman"/>
      <family val="1"/>
    </font>
    <font>
      <b/>
      <sz val="18"/>
      <name val="Times New Roman"/>
      <family val="1"/>
    </font>
    <font>
      <b/>
      <sz val="22"/>
      <name val="Times New Roman"/>
      <family val="1"/>
    </font>
    <font>
      <sz val="11.5"/>
      <name val="Times New Roman"/>
      <family val="1"/>
    </font>
    <font>
      <b/>
      <sz val="16"/>
      <name val="Times New Roman"/>
      <family val="1"/>
    </font>
    <font>
      <sz val="8"/>
      <color rgb="FF000000"/>
      <name val="Calibri"/>
      <family val="2"/>
    </font>
    <font>
      <b/>
      <sz val="14"/>
      <color rgb="FF000000"/>
      <name val="Calibri"/>
      <family val="2"/>
    </font>
    <font>
      <b/>
      <sz val="10"/>
      <color rgb="FF000000"/>
      <name val="Calibri"/>
      <family val="2"/>
    </font>
    <font>
      <sz val="2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 vertical="center"/>
    </xf>
    <xf numFmtId="0" fontId="6" fillId="0" borderId="0" xfId="0" applyFont="1" applyBorder="1" applyAlignment="1">
      <alignment vertical="top" wrapText="1"/>
    </xf>
    <xf numFmtId="0" fontId="0" fillId="0" borderId="0" xfId="0" applyBorder="1"/>
    <xf numFmtId="0" fontId="1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vertical="top" wrapText="1"/>
    </xf>
    <xf numFmtId="0" fontId="0" fillId="0" borderId="0" xfId="0" applyBorder="1" applyAlignment="1">
      <alignment vertical="top" wrapText="1"/>
    </xf>
    <xf numFmtId="166" fontId="0" fillId="0" borderId="0" xfId="0" applyNumberFormat="1"/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4" fontId="6" fillId="0" borderId="2" xfId="0" applyNumberFormat="1" applyFont="1" applyBorder="1" applyAlignment="1" applyProtection="1">
      <alignment wrapText="1"/>
      <protection locked="0"/>
    </xf>
    <xf numFmtId="164" fontId="1" fillId="0" borderId="2" xfId="0" applyNumberFormat="1" applyFont="1" applyBorder="1" applyAlignment="1" applyProtection="1">
      <alignment wrapText="1"/>
      <protection locked="0"/>
    </xf>
    <xf numFmtId="10" fontId="0" fillId="0" borderId="0" xfId="0" applyNumberFormat="1" applyBorder="1"/>
    <xf numFmtId="0" fontId="0" fillId="0" borderId="0" xfId="0" applyNumberForma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 applyProtection="1">
      <alignment horizontal="center" vertical="top" wrapText="1"/>
      <protection locked="0"/>
    </xf>
    <xf numFmtId="0" fontId="10" fillId="3" borderId="0" xfId="0" applyFont="1" applyFill="1" applyAlignment="1">
      <alignment horizontal="center" vertical="center"/>
    </xf>
    <xf numFmtId="0" fontId="0" fillId="0" borderId="13" xfId="0" applyBorder="1" applyAlignment="1" applyProtection="1">
      <alignment horizontal="center" vertical="center" wrapText="1"/>
      <protection locked="0"/>
    </xf>
    <xf numFmtId="9" fontId="0" fillId="0" borderId="0" xfId="0" applyNumberFormat="1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1" fillId="0" borderId="4" xfId="0" applyFont="1" applyBorder="1" applyAlignment="1" applyProtection="1">
      <alignment vertical="top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vertical="top" wrapText="1"/>
      <protection locked="0"/>
    </xf>
    <xf numFmtId="166" fontId="0" fillId="0" borderId="12" xfId="0" applyNumberFormat="1" applyBorder="1" applyAlignment="1" applyProtection="1">
      <alignment horizontal="center" vertical="center" wrapText="1"/>
      <protection hidden="1"/>
    </xf>
    <xf numFmtId="166" fontId="0" fillId="0" borderId="14" xfId="0" applyNumberFormat="1" applyBorder="1" applyAlignment="1" applyProtection="1">
      <alignment horizontal="center" vertical="center" wrapText="1"/>
      <protection hidden="1"/>
    </xf>
    <xf numFmtId="166" fontId="0" fillId="0" borderId="13" xfId="0" applyNumberFormat="1" applyBorder="1" applyAlignment="1" applyProtection="1">
      <alignment horizontal="center" vertical="center" wrapText="1"/>
      <protection hidden="1"/>
    </xf>
    <xf numFmtId="164" fontId="1" fillId="0" borderId="1" xfId="0" applyNumberFormat="1" applyFont="1" applyBorder="1" applyAlignment="1" applyProtection="1">
      <alignment vertical="top" wrapText="1"/>
      <protection hidden="1"/>
    </xf>
    <xf numFmtId="0" fontId="9" fillId="3" borderId="0" xfId="0" applyFont="1" applyFill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left" vertical="top" wrapText="1"/>
      <protection hidden="1"/>
    </xf>
    <xf numFmtId="0" fontId="8" fillId="0" borderId="0" xfId="0" applyFont="1" applyBorder="1" applyAlignment="1" applyProtection="1">
      <alignment horizontal="left" vertical="top"/>
      <protection hidden="1"/>
    </xf>
    <xf numFmtId="0" fontId="8" fillId="0" borderId="11" xfId="0" applyFont="1" applyBorder="1" applyAlignment="1" applyProtection="1">
      <alignment horizontal="left" vertical="top"/>
      <protection hidden="1"/>
    </xf>
    <xf numFmtId="0" fontId="8" fillId="0" borderId="7" xfId="0" applyFont="1" applyBorder="1" applyAlignment="1" applyProtection="1">
      <alignment horizontal="left" vertical="top"/>
      <protection hidden="1"/>
    </xf>
    <xf numFmtId="0" fontId="8" fillId="0" borderId="8" xfId="0" applyFont="1" applyBorder="1" applyAlignment="1" applyProtection="1">
      <alignment horizontal="left" vertical="top"/>
      <protection hidden="1"/>
    </xf>
    <xf numFmtId="0" fontId="8" fillId="0" borderId="10" xfId="0" applyFont="1" applyBorder="1" applyAlignment="1" applyProtection="1">
      <alignment horizontal="left" vertical="top"/>
      <protection hidden="1"/>
    </xf>
    <xf numFmtId="0" fontId="0" fillId="0" borderId="5" xfId="0" applyNumberFormat="1" applyBorder="1" applyAlignment="1" applyProtection="1">
      <alignment horizontal="center" vertical="center" wrapText="1"/>
      <protection hidden="1"/>
    </xf>
    <xf numFmtId="0" fontId="0" fillId="0" borderId="6" xfId="0" applyNumberFormat="1" applyBorder="1" applyAlignment="1" applyProtection="1">
      <alignment horizontal="center" vertical="center" wrapText="1"/>
      <protection hidden="1"/>
    </xf>
    <xf numFmtId="0" fontId="0" fillId="0" borderId="9" xfId="0" applyNumberFormat="1" applyBorder="1" applyAlignment="1" applyProtection="1">
      <alignment horizontal="center" vertical="center" wrapText="1"/>
      <protection hidden="1"/>
    </xf>
    <xf numFmtId="0" fontId="0" fillId="0" borderId="15" xfId="0" applyNumberFormat="1" applyBorder="1" applyAlignment="1" applyProtection="1">
      <alignment horizontal="center" vertical="center" wrapText="1"/>
      <protection hidden="1"/>
    </xf>
    <xf numFmtId="0" fontId="0" fillId="0" borderId="0" xfId="0" applyNumberFormat="1" applyBorder="1" applyAlignment="1" applyProtection="1">
      <alignment horizontal="center" vertical="center" wrapText="1"/>
      <protection hidden="1"/>
    </xf>
    <xf numFmtId="0" fontId="0" fillId="0" borderId="11" xfId="0" applyNumberFormat="1" applyBorder="1" applyAlignment="1" applyProtection="1">
      <alignment horizontal="center" vertical="center" wrapText="1"/>
      <protection hidden="1"/>
    </xf>
    <xf numFmtId="0" fontId="0" fillId="0" borderId="7" xfId="0" applyNumberFormat="1" applyBorder="1" applyAlignment="1" applyProtection="1">
      <alignment horizontal="center" vertical="center" wrapText="1"/>
      <protection hidden="1"/>
    </xf>
    <xf numFmtId="0" fontId="0" fillId="0" borderId="8" xfId="0" applyNumberFormat="1" applyBorder="1" applyAlignment="1" applyProtection="1">
      <alignment horizontal="center" vertical="center" wrapText="1"/>
      <protection hidden="1"/>
    </xf>
    <xf numFmtId="0" fontId="0" fillId="0" borderId="10" xfId="0" applyNumberFormat="1" applyBorder="1" applyAlignment="1" applyProtection="1">
      <alignment horizontal="center" vertical="center" wrapText="1"/>
      <protection hidden="1"/>
    </xf>
    <xf numFmtId="0" fontId="6" fillId="0" borderId="3" xfId="0" applyFont="1" applyBorder="1" applyAlignment="1" applyProtection="1">
      <alignment horizontal="left" vertical="top" wrapText="1"/>
      <protection locked="0"/>
    </xf>
    <xf numFmtId="14" fontId="6" fillId="0" borderId="3" xfId="0" applyNumberFormat="1" applyFont="1" applyBorder="1" applyAlignment="1" applyProtection="1">
      <alignment horizontal="left" vertical="top" wrapText="1"/>
      <protection hidden="1"/>
    </xf>
    <xf numFmtId="0" fontId="3" fillId="0" borderId="3" xfId="0" applyNumberFormat="1" applyFont="1" applyBorder="1" applyAlignment="1" applyProtection="1">
      <alignment horizontal="left" vertical="top" wrapText="1"/>
      <protection hidden="1"/>
    </xf>
    <xf numFmtId="0" fontId="0" fillId="0" borderId="13" xfId="0" applyBorder="1" applyAlignment="1" applyProtection="1">
      <alignment horizontal="left" vertical="top" wrapText="1"/>
      <protection locked="0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left" vertical="top" wrapText="1"/>
      <protection locked="0"/>
    </xf>
    <xf numFmtId="0" fontId="0" fillId="0" borderId="6" xfId="0" applyBorder="1" applyAlignment="1" applyProtection="1">
      <alignment horizontal="left" vertical="top" wrapText="1"/>
      <protection locked="0"/>
    </xf>
    <xf numFmtId="0" fontId="0" fillId="0" borderId="9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166" fontId="0" fillId="0" borderId="5" xfId="0" applyNumberFormat="1" applyBorder="1" applyAlignment="1" applyProtection="1">
      <alignment horizontal="center" vertical="center" wrapText="1"/>
      <protection hidden="1"/>
    </xf>
    <xf numFmtId="166" fontId="0" fillId="0" borderId="9" xfId="0" applyNumberFormat="1" applyBorder="1" applyAlignment="1" applyProtection="1">
      <alignment horizontal="center" vertical="center" wrapText="1"/>
      <protection hidden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left" vertical="top" wrapText="1"/>
      <protection locked="0"/>
    </xf>
    <xf numFmtId="0" fontId="4" fillId="0" borderId="2" xfId="0" applyFont="1" applyBorder="1" applyAlignment="1" applyProtection="1">
      <alignment horizontal="center" vertical="top" wrapText="1"/>
      <protection locked="0"/>
    </xf>
    <xf numFmtId="0" fontId="4" fillId="0" borderId="3" xfId="0" applyFont="1" applyBorder="1" applyAlignment="1" applyProtection="1">
      <alignment horizontal="center" vertical="top" wrapText="1"/>
      <protection locked="0"/>
    </xf>
    <xf numFmtId="0" fontId="4" fillId="0" borderId="4" xfId="0" applyFont="1" applyBorder="1" applyAlignment="1" applyProtection="1">
      <alignment horizontal="center" vertical="top" wrapText="1"/>
      <protection locked="0"/>
    </xf>
    <xf numFmtId="166" fontId="0" fillId="0" borderId="15" xfId="0" applyNumberFormat="1" applyBorder="1" applyAlignment="1" applyProtection="1">
      <alignment horizontal="center" vertical="center" wrapText="1"/>
      <protection hidden="1"/>
    </xf>
    <xf numFmtId="166" fontId="0" fillId="0" borderId="11" xfId="0" applyNumberFormat="1" applyBorder="1" applyAlignment="1" applyProtection="1">
      <alignment horizontal="center" vertical="center" wrapText="1"/>
      <protection hidden="1"/>
    </xf>
    <xf numFmtId="164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7" fillId="2" borderId="5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6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9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7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8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10" xfId="0" applyNumberFormat="1" applyFont="1" applyFill="1" applyBorder="1" applyAlignment="1" applyProtection="1">
      <alignment horizontal="right" vertical="center" wrapText="1"/>
      <protection locked="0"/>
    </xf>
    <xf numFmtId="165" fontId="1" fillId="2" borderId="6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9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8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10" xfId="0" applyNumberFormat="1" applyFont="1" applyFill="1" applyBorder="1" applyAlignment="1" applyProtection="1">
      <alignment horizontal="center" vertical="center" wrapText="1"/>
      <protection hidden="1"/>
    </xf>
    <xf numFmtId="9" fontId="6" fillId="0" borderId="7" xfId="0" applyNumberFormat="1" applyFont="1" applyBorder="1" applyAlignment="1" applyProtection="1">
      <alignment horizontal="center" wrapText="1"/>
      <protection locked="0"/>
    </xf>
    <xf numFmtId="9" fontId="6" fillId="0" borderId="10" xfId="0" applyNumberFormat="1" applyFont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vertical="center"/>
      <protection hidden="1"/>
    </xf>
    <xf numFmtId="164" fontId="0" fillId="2" borderId="2" xfId="0" applyNumberFormat="1" applyFill="1" applyBorder="1" applyAlignment="1" applyProtection="1">
      <alignment horizontal="center"/>
      <protection locked="0"/>
    </xf>
    <xf numFmtId="164" fontId="0" fillId="2" borderId="3" xfId="0" applyNumberFormat="1" applyFill="1" applyBorder="1" applyAlignment="1" applyProtection="1">
      <alignment horizontal="center"/>
      <protection locked="0"/>
    </xf>
    <xf numFmtId="164" fontId="0" fillId="2" borderId="4" xfId="0" applyNumberFormat="1" applyFill="1" applyBorder="1" applyAlignment="1" applyProtection="1">
      <alignment horizontal="center"/>
      <protection locked="0"/>
    </xf>
    <xf numFmtId="164" fontId="6" fillId="0" borderId="1" xfId="0" applyNumberFormat="1" applyFont="1" applyBorder="1" applyAlignment="1" applyProtection="1">
      <alignment horizontal="left" vertical="top" wrapText="1"/>
      <protection locked="0"/>
    </xf>
    <xf numFmtId="164" fontId="1" fillId="0" borderId="1" xfId="0" applyNumberFormat="1" applyFont="1" applyBorder="1" applyAlignment="1" applyProtection="1">
      <alignment horizontal="left" vertical="top" wrapText="1"/>
      <protection locked="0"/>
    </xf>
    <xf numFmtId="164" fontId="6" fillId="0" borderId="5" xfId="0" applyNumberFormat="1" applyFont="1" applyBorder="1" applyAlignment="1" applyProtection="1">
      <alignment horizontal="center" vertical="top" wrapText="1"/>
      <protection locked="0"/>
    </xf>
    <xf numFmtId="164" fontId="1" fillId="0" borderId="6" xfId="0" applyNumberFormat="1" applyFont="1" applyBorder="1" applyAlignment="1" applyProtection="1">
      <alignment horizontal="center" vertical="top" wrapText="1"/>
      <protection locked="0"/>
    </xf>
    <xf numFmtId="164" fontId="1" fillId="0" borderId="9" xfId="0" applyNumberFormat="1" applyFont="1" applyBorder="1" applyAlignment="1" applyProtection="1">
      <alignment horizontal="center" vertical="top" wrapText="1"/>
      <protection locked="0"/>
    </xf>
    <xf numFmtId="164" fontId="1" fillId="0" borderId="7" xfId="0" applyNumberFormat="1" applyFont="1" applyBorder="1" applyAlignment="1" applyProtection="1">
      <alignment horizontal="center" vertical="top" wrapText="1"/>
      <protection locked="0"/>
    </xf>
    <xf numFmtId="164" fontId="1" fillId="0" borderId="8" xfId="0" applyNumberFormat="1" applyFont="1" applyBorder="1" applyAlignment="1" applyProtection="1">
      <alignment horizontal="center" vertical="top" wrapText="1"/>
      <protection locked="0"/>
    </xf>
    <xf numFmtId="164" fontId="1" fillId="0" borderId="10" xfId="0" applyNumberFormat="1" applyFont="1" applyBorder="1" applyAlignment="1" applyProtection="1">
      <alignment horizontal="center" vertical="top" wrapText="1"/>
      <protection locked="0"/>
    </xf>
    <xf numFmtId="165" fontId="1" fillId="0" borderId="1" xfId="0" applyNumberFormat="1" applyFont="1" applyBorder="1" applyAlignment="1" applyProtection="1">
      <alignment horizontal="center" vertical="top" wrapText="1"/>
      <protection hidden="1"/>
    </xf>
    <xf numFmtId="164" fontId="6" fillId="0" borderId="5" xfId="0" applyNumberFormat="1" applyFont="1" applyBorder="1" applyAlignment="1" applyProtection="1">
      <alignment horizontal="center" wrapText="1"/>
      <protection locked="0"/>
    </xf>
    <xf numFmtId="164" fontId="6" fillId="0" borderId="9" xfId="0" applyNumberFormat="1" applyFont="1" applyBorder="1" applyAlignment="1" applyProtection="1">
      <alignment horizontal="center" wrapText="1"/>
      <protection locked="0"/>
    </xf>
    <xf numFmtId="165" fontId="1" fillId="2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2" borderId="1" xfId="0" applyNumberFormat="1" applyFont="1" applyFill="1" applyBorder="1" applyAlignment="1" applyProtection="1">
      <alignment horizontal="left" vertical="top" wrapText="1"/>
      <protection locked="0"/>
    </xf>
    <xf numFmtId="166" fontId="0" fillId="0" borderId="7" xfId="0" applyNumberFormat="1" applyBorder="1" applyAlignment="1" applyProtection="1">
      <alignment horizontal="center" vertical="center" wrapText="1"/>
      <protection hidden="1"/>
    </xf>
    <xf numFmtId="166" fontId="0" fillId="0" borderId="10" xfId="0" applyNumberFormat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2</xdr:row>
          <xdr:rowOff>19050</xdr:rowOff>
        </xdr:from>
        <xdr:to>
          <xdr:col>11</xdr:col>
          <xdr:colOff>561975</xdr:colOff>
          <xdr:row>4</xdr:row>
          <xdr:rowOff>95250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104775</xdr:colOff>
          <xdr:row>5</xdr:row>
          <xdr:rowOff>66675</xdr:rowOff>
        </xdr:from>
        <xdr:to>
          <xdr:col>11</xdr:col>
          <xdr:colOff>542925</xdr:colOff>
          <xdr:row>8</xdr:row>
          <xdr:rowOff>9525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8</xdr:row>
          <xdr:rowOff>123825</xdr:rowOff>
        </xdr:from>
        <xdr:to>
          <xdr:col>11</xdr:col>
          <xdr:colOff>533400</xdr:colOff>
          <xdr:row>10</xdr:row>
          <xdr:rowOff>85725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10</xdr:row>
          <xdr:rowOff>180975</xdr:rowOff>
        </xdr:from>
        <xdr:to>
          <xdr:col>11</xdr:col>
          <xdr:colOff>542925</xdr:colOff>
          <xdr:row>13</xdr:row>
          <xdr:rowOff>104775</xdr:rowOff>
        </xdr:to>
        <xdr:sp macro="" textlink="">
          <xdr:nvSpPr>
            <xdr:cNvPr id="1037" name="CommandButton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276225</xdr:colOff>
          <xdr:row>10</xdr:row>
          <xdr:rowOff>180975</xdr:rowOff>
        </xdr:from>
        <xdr:to>
          <xdr:col>14</xdr:col>
          <xdr:colOff>723900</xdr:colOff>
          <xdr:row>13</xdr:row>
          <xdr:rowOff>104775</xdr:rowOff>
        </xdr:to>
        <xdr:sp macro="" textlink="">
          <xdr:nvSpPr>
            <xdr:cNvPr id="1038" name="CommandButton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466725</xdr:rowOff>
        </xdr:from>
        <xdr:to>
          <xdr:col>11</xdr:col>
          <xdr:colOff>542925</xdr:colOff>
          <xdr:row>0</xdr:row>
          <xdr:rowOff>942975</xdr:rowOff>
        </xdr:to>
        <xdr:sp macro="" textlink="">
          <xdr:nvSpPr>
            <xdr:cNvPr id="1040" name="CommandButton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7"/>
  <sheetViews>
    <sheetView showGridLines="0" tabSelected="1" zoomScale="96" zoomScaleNormal="96" workbookViewId="0">
      <selection activeCell="B6" sqref="B6:D6"/>
    </sheetView>
  </sheetViews>
  <sheetFormatPr defaultRowHeight="15" x14ac:dyDescent="0.25"/>
  <cols>
    <col min="1" max="1" width="8.140625" customWidth="1"/>
    <col min="2" max="2" width="25.5703125" customWidth="1"/>
    <col min="3" max="3" width="7" customWidth="1"/>
    <col min="4" max="4" width="5.85546875" customWidth="1"/>
    <col min="5" max="5" width="9" customWidth="1"/>
    <col min="6" max="6" width="11.85546875" customWidth="1"/>
    <col min="7" max="7" width="9.7109375" customWidth="1"/>
    <col min="8" max="8" width="8.85546875" customWidth="1"/>
    <col min="9" max="9" width="13" customWidth="1"/>
    <col min="15" max="15" width="14" customWidth="1"/>
  </cols>
  <sheetData>
    <row r="1" spans="1:16" ht="77.25" customHeight="1" x14ac:dyDescent="0.25">
      <c r="A1" s="64" t="s">
        <v>26</v>
      </c>
      <c r="B1" s="65"/>
      <c r="C1" s="65"/>
      <c r="D1" s="65"/>
      <c r="E1" s="65"/>
      <c r="F1" s="65"/>
      <c r="G1" s="65"/>
      <c r="H1" s="65"/>
      <c r="I1" s="66"/>
    </row>
    <row r="2" spans="1:16" ht="4.5" customHeight="1" x14ac:dyDescent="0.25">
      <c r="A2" s="67"/>
      <c r="B2" s="67"/>
      <c r="C2" s="67"/>
      <c r="D2" s="67"/>
      <c r="E2" s="67"/>
      <c r="F2" s="67"/>
      <c r="G2" s="67"/>
      <c r="H2" s="67"/>
      <c r="I2" s="67"/>
    </row>
    <row r="3" spans="1:16" ht="25.5" customHeight="1" x14ac:dyDescent="0.25">
      <c r="A3" s="68" t="s">
        <v>5</v>
      </c>
      <c r="B3" s="69"/>
      <c r="C3" s="69"/>
      <c r="D3" s="69"/>
      <c r="E3" s="69"/>
      <c r="F3" s="69"/>
      <c r="G3" s="69"/>
      <c r="H3" s="69"/>
      <c r="I3" s="70"/>
      <c r="O3" s="15" t="s">
        <v>31</v>
      </c>
      <c r="P3" s="30">
        <v>3</v>
      </c>
    </row>
    <row r="4" spans="1:16" ht="4.5" customHeight="1" x14ac:dyDescent="0.25">
      <c r="A4" s="67"/>
      <c r="B4" s="67"/>
      <c r="C4" s="67"/>
      <c r="D4" s="67"/>
      <c r="E4" s="67"/>
      <c r="F4" s="67"/>
      <c r="G4" s="67"/>
      <c r="H4" s="67"/>
      <c r="I4" s="67"/>
    </row>
    <row r="5" spans="1:16" ht="15" customHeight="1" x14ac:dyDescent="0.25">
      <c r="A5" s="50" t="s">
        <v>17</v>
      </c>
      <c r="B5" s="51"/>
      <c r="C5" s="51"/>
      <c r="D5" s="51"/>
      <c r="E5" s="46" t="s">
        <v>18</v>
      </c>
      <c r="F5" s="46"/>
      <c r="G5" s="48" t="str">
        <f ca="1">TEXT(TODAY(),"yymmdd")&amp;"-"&amp;P3</f>
        <v>200318-3</v>
      </c>
      <c r="H5" s="48"/>
      <c r="I5" s="20"/>
    </row>
    <row r="6" spans="1:16" ht="15" customHeight="1" x14ac:dyDescent="0.25">
      <c r="A6" s="21" t="s">
        <v>0</v>
      </c>
      <c r="B6" s="49"/>
      <c r="C6" s="49"/>
      <c r="D6" s="49"/>
      <c r="E6" s="46" t="s">
        <v>19</v>
      </c>
      <c r="F6" s="46"/>
      <c r="G6" s="47">
        <f ca="1" xml:space="preserve"> TODAY()</f>
        <v>43908</v>
      </c>
      <c r="H6" s="47"/>
      <c r="I6" s="20"/>
    </row>
    <row r="7" spans="1:16" ht="15" customHeight="1" x14ac:dyDescent="0.25">
      <c r="A7" s="50" t="s">
        <v>25</v>
      </c>
      <c r="B7" s="52"/>
      <c r="C7" s="53"/>
      <c r="D7" s="54"/>
      <c r="E7" s="46" t="s">
        <v>20</v>
      </c>
      <c r="F7" s="46"/>
      <c r="G7" s="25" t="s">
        <v>32</v>
      </c>
      <c r="H7" s="25"/>
      <c r="I7" s="20"/>
      <c r="K7" s="2"/>
      <c r="L7" s="6"/>
      <c r="M7" s="6"/>
      <c r="N7" s="6"/>
      <c r="O7" s="3"/>
      <c r="P7" s="3"/>
    </row>
    <row r="8" spans="1:16" ht="15" customHeight="1" x14ac:dyDescent="0.25">
      <c r="A8" s="51"/>
      <c r="B8" s="55"/>
      <c r="C8" s="56"/>
      <c r="D8" s="57"/>
      <c r="E8" s="46" t="s">
        <v>21</v>
      </c>
      <c r="F8" s="46"/>
      <c r="G8" s="46" t="s">
        <v>23</v>
      </c>
      <c r="H8" s="46"/>
      <c r="I8" s="20"/>
      <c r="K8" s="4"/>
      <c r="L8" s="7"/>
      <c r="M8" s="7"/>
      <c r="N8" s="7"/>
      <c r="O8" s="3"/>
      <c r="P8" s="3"/>
    </row>
    <row r="9" spans="1:16" ht="15" customHeight="1" x14ac:dyDescent="0.25">
      <c r="A9" s="22" t="s">
        <v>24</v>
      </c>
      <c r="B9" s="58"/>
      <c r="C9" s="58"/>
      <c r="D9" s="58"/>
      <c r="E9" s="46" t="s">
        <v>22</v>
      </c>
      <c r="F9" s="46"/>
      <c r="G9" s="63">
        <v>524005</v>
      </c>
      <c r="H9" s="63"/>
      <c r="I9" s="23"/>
      <c r="K9" s="6"/>
      <c r="L9" s="7"/>
      <c r="M9" s="7"/>
      <c r="N9" s="7"/>
      <c r="O9" s="3"/>
      <c r="P9" s="3"/>
    </row>
    <row r="10" spans="1:16" s="1" customFormat="1" ht="28.5" x14ac:dyDescent="0.25">
      <c r="A10" s="9" t="s">
        <v>6</v>
      </c>
      <c r="B10" s="24" t="s">
        <v>7</v>
      </c>
      <c r="C10" s="14" t="s">
        <v>4</v>
      </c>
      <c r="D10" s="9" t="s">
        <v>8</v>
      </c>
      <c r="E10" s="9" t="s">
        <v>9</v>
      </c>
      <c r="F10" s="9" t="s">
        <v>10</v>
      </c>
      <c r="G10" s="9" t="s">
        <v>11</v>
      </c>
      <c r="H10" s="59" t="s">
        <v>12</v>
      </c>
      <c r="I10" s="60"/>
      <c r="K10" s="6"/>
      <c r="L10" s="7"/>
      <c r="M10" s="7"/>
      <c r="N10" s="7"/>
      <c r="O10" s="5"/>
      <c r="P10" s="5"/>
    </row>
    <row r="11" spans="1:16" ht="15" customHeight="1" x14ac:dyDescent="0.25">
      <c r="A11" s="18"/>
      <c r="B11" s="18"/>
      <c r="C11" s="18"/>
      <c r="D11" s="18"/>
      <c r="E11" s="18"/>
      <c r="F11" s="26">
        <f>D11*E11</f>
        <v>0</v>
      </c>
      <c r="G11" s="17"/>
      <c r="H11" s="61">
        <f t="shared" ref="H11" si="0">F11*(100%-G11)</f>
        <v>0</v>
      </c>
      <c r="I11" s="62"/>
      <c r="K11" s="4"/>
      <c r="L11" s="7"/>
      <c r="M11" s="7"/>
      <c r="N11" s="7"/>
      <c r="O11" s="3"/>
      <c r="P11" s="3"/>
    </row>
    <row r="12" spans="1:16" x14ac:dyDescent="0.25">
      <c r="A12" s="19"/>
      <c r="B12" s="19"/>
      <c r="C12" s="19"/>
      <c r="D12" s="19"/>
      <c r="E12" s="19"/>
      <c r="F12" s="27">
        <f t="shared" ref="F12:F27" si="1">D12*E12</f>
        <v>0</v>
      </c>
      <c r="G12" s="17"/>
      <c r="H12" s="71">
        <f t="shared" ref="H12:H26" si="2">F12*(100%-G12)</f>
        <v>0</v>
      </c>
      <c r="I12" s="72"/>
      <c r="K12" s="3"/>
      <c r="L12" s="3"/>
      <c r="M12" s="3"/>
      <c r="N12" s="3"/>
      <c r="O12" s="3"/>
      <c r="P12" s="3"/>
    </row>
    <row r="13" spans="1:16" x14ac:dyDescent="0.25">
      <c r="A13" s="19"/>
      <c r="B13" s="19"/>
      <c r="C13" s="19"/>
      <c r="D13" s="19"/>
      <c r="E13" s="19"/>
      <c r="F13" s="27">
        <f t="shared" si="1"/>
        <v>0</v>
      </c>
      <c r="G13" s="17"/>
      <c r="H13" s="71">
        <f t="shared" si="2"/>
        <v>0</v>
      </c>
      <c r="I13" s="72"/>
      <c r="K13" s="3"/>
      <c r="L13" s="3"/>
      <c r="M13" s="3"/>
      <c r="N13" s="3"/>
      <c r="O13" s="3"/>
      <c r="P13" s="3"/>
    </row>
    <row r="14" spans="1:16" x14ac:dyDescent="0.25">
      <c r="A14" s="19"/>
      <c r="B14" s="19"/>
      <c r="C14" s="19"/>
      <c r="D14" s="19"/>
      <c r="E14" s="19"/>
      <c r="F14" s="27">
        <f t="shared" si="1"/>
        <v>0</v>
      </c>
      <c r="G14" s="17"/>
      <c r="H14" s="71">
        <f>F14*(100%-G14)</f>
        <v>0</v>
      </c>
      <c r="I14" s="72"/>
      <c r="K14" s="3"/>
      <c r="L14" s="3"/>
      <c r="M14" s="3"/>
      <c r="N14" s="3"/>
      <c r="O14" s="3"/>
      <c r="P14" s="3"/>
    </row>
    <row r="15" spans="1:16" x14ac:dyDescent="0.25">
      <c r="A15" s="19"/>
      <c r="B15" s="19"/>
      <c r="C15" s="19"/>
      <c r="D15" s="19"/>
      <c r="E15" s="19"/>
      <c r="F15" s="27">
        <f t="shared" si="1"/>
        <v>0</v>
      </c>
      <c r="G15" s="17"/>
      <c r="H15" s="71">
        <f t="shared" si="2"/>
        <v>0</v>
      </c>
      <c r="I15" s="72"/>
      <c r="K15" s="3"/>
      <c r="L15" s="2"/>
      <c r="M15" s="2"/>
      <c r="N15" s="2"/>
      <c r="O15" s="2"/>
      <c r="P15" s="2"/>
    </row>
    <row r="16" spans="1:16" x14ac:dyDescent="0.25">
      <c r="A16" s="19"/>
      <c r="B16" s="19"/>
      <c r="C16" s="19"/>
      <c r="D16" s="19"/>
      <c r="E16" s="19"/>
      <c r="F16" s="27">
        <f t="shared" si="1"/>
        <v>0</v>
      </c>
      <c r="G16" s="17"/>
      <c r="H16" s="71">
        <f t="shared" si="2"/>
        <v>0</v>
      </c>
      <c r="I16" s="72"/>
      <c r="K16" s="86" t="s">
        <v>34</v>
      </c>
      <c r="L16" s="86"/>
      <c r="M16" s="86"/>
      <c r="N16" s="86"/>
      <c r="O16" s="86"/>
      <c r="P16" s="2"/>
    </row>
    <row r="17" spans="1:16" x14ac:dyDescent="0.25">
      <c r="A17" s="19"/>
      <c r="B17" s="19"/>
      <c r="C17" s="19"/>
      <c r="D17" s="19"/>
      <c r="E17" s="19"/>
      <c r="F17" s="27">
        <f>D17*E17</f>
        <v>0</v>
      </c>
      <c r="G17" s="17"/>
      <c r="H17" s="71">
        <f t="shared" si="2"/>
        <v>0</v>
      </c>
      <c r="I17" s="72"/>
      <c r="K17" s="86"/>
      <c r="L17" s="86"/>
      <c r="M17" s="86"/>
      <c r="N17" s="86"/>
      <c r="O17" s="86"/>
      <c r="P17" s="6"/>
    </row>
    <row r="18" spans="1:16" x14ac:dyDescent="0.25">
      <c r="A18" s="19"/>
      <c r="B18" s="19"/>
      <c r="C18" s="19"/>
      <c r="D18" s="19"/>
      <c r="E18" s="19"/>
      <c r="F18" s="27">
        <f t="shared" si="1"/>
        <v>0</v>
      </c>
      <c r="G18" s="17"/>
      <c r="H18" s="71">
        <f>F18*(100%-G18)</f>
        <v>0</v>
      </c>
      <c r="I18" s="72"/>
      <c r="K18" s="3"/>
      <c r="L18" s="6"/>
      <c r="M18" s="6"/>
      <c r="N18" s="6"/>
      <c r="O18" s="6"/>
      <c r="P18" s="6"/>
    </row>
    <row r="19" spans="1:16" x14ac:dyDescent="0.25">
      <c r="A19" s="19"/>
      <c r="B19" s="19"/>
      <c r="C19" s="19"/>
      <c r="D19" s="19"/>
      <c r="E19" s="19"/>
      <c r="F19" s="27">
        <f t="shared" si="1"/>
        <v>0</v>
      </c>
      <c r="G19" s="17"/>
      <c r="H19" s="71">
        <f>F19*(100%-G19)</f>
        <v>0</v>
      </c>
      <c r="I19" s="72"/>
      <c r="K19" s="3"/>
      <c r="L19" s="6"/>
      <c r="M19" s="6"/>
      <c r="N19" s="6"/>
      <c r="O19" s="6"/>
      <c r="P19" s="6"/>
    </row>
    <row r="20" spans="1:16" x14ac:dyDescent="0.25">
      <c r="A20" s="19"/>
      <c r="B20" s="19"/>
      <c r="C20" s="19"/>
      <c r="D20" s="19"/>
      <c r="E20" s="19"/>
      <c r="F20" s="27">
        <f t="shared" si="1"/>
        <v>0</v>
      </c>
      <c r="G20" s="17"/>
      <c r="H20" s="71">
        <f t="shared" si="2"/>
        <v>0</v>
      </c>
      <c r="I20" s="72"/>
    </row>
    <row r="21" spans="1:16" x14ac:dyDescent="0.25">
      <c r="A21" s="19"/>
      <c r="B21" s="19"/>
      <c r="C21" s="19"/>
      <c r="D21" s="19"/>
      <c r="E21" s="19"/>
      <c r="F21" s="27">
        <f t="shared" si="1"/>
        <v>0</v>
      </c>
      <c r="G21" s="17"/>
      <c r="H21" s="71">
        <f t="shared" si="2"/>
        <v>0</v>
      </c>
      <c r="I21" s="72"/>
    </row>
    <row r="22" spans="1:16" x14ac:dyDescent="0.25">
      <c r="A22" s="19"/>
      <c r="B22" s="19"/>
      <c r="C22" s="19"/>
      <c r="D22" s="19"/>
      <c r="E22" s="19"/>
      <c r="F22" s="27">
        <f t="shared" si="1"/>
        <v>0</v>
      </c>
      <c r="G22" s="17"/>
      <c r="H22" s="71">
        <f t="shared" si="2"/>
        <v>0</v>
      </c>
      <c r="I22" s="72"/>
    </row>
    <row r="23" spans="1:16" x14ac:dyDescent="0.25">
      <c r="A23" s="19"/>
      <c r="B23" s="19"/>
      <c r="C23" s="19"/>
      <c r="D23" s="19"/>
      <c r="E23" s="19"/>
      <c r="F23" s="27">
        <f t="shared" si="1"/>
        <v>0</v>
      </c>
      <c r="G23" s="17"/>
      <c r="H23" s="71">
        <f t="shared" si="2"/>
        <v>0</v>
      </c>
      <c r="I23" s="72"/>
    </row>
    <row r="24" spans="1:16" x14ac:dyDescent="0.25">
      <c r="A24" s="19"/>
      <c r="B24" s="19"/>
      <c r="C24" s="19"/>
      <c r="D24" s="19"/>
      <c r="E24" s="19"/>
      <c r="F24" s="27">
        <f t="shared" si="1"/>
        <v>0</v>
      </c>
      <c r="G24" s="17"/>
      <c r="H24" s="71">
        <f t="shared" si="2"/>
        <v>0</v>
      </c>
      <c r="I24" s="72"/>
    </row>
    <row r="25" spans="1:16" x14ac:dyDescent="0.25">
      <c r="A25" s="19"/>
      <c r="B25" s="19"/>
      <c r="C25" s="19"/>
      <c r="D25" s="19"/>
      <c r="E25" s="19"/>
      <c r="F25" s="27">
        <f t="shared" si="1"/>
        <v>0</v>
      </c>
      <c r="G25" s="17"/>
      <c r="H25" s="71">
        <f t="shared" si="2"/>
        <v>0</v>
      </c>
      <c r="I25" s="72"/>
      <c r="K25" s="8"/>
    </row>
    <row r="26" spans="1:16" x14ac:dyDescent="0.25">
      <c r="A26" s="19"/>
      <c r="B26" s="19"/>
      <c r="C26" s="19"/>
      <c r="D26" s="19"/>
      <c r="E26" s="19"/>
      <c r="F26" s="27">
        <f t="shared" si="1"/>
        <v>0</v>
      </c>
      <c r="G26" s="17"/>
      <c r="H26" s="71">
        <f t="shared" si="2"/>
        <v>0</v>
      </c>
      <c r="I26" s="72"/>
    </row>
    <row r="27" spans="1:16" x14ac:dyDescent="0.25">
      <c r="A27" s="16"/>
      <c r="B27" s="16"/>
      <c r="C27" s="16"/>
      <c r="D27" s="16"/>
      <c r="E27" s="16"/>
      <c r="F27" s="28">
        <f t="shared" si="1"/>
        <v>0</v>
      </c>
      <c r="G27" s="17"/>
      <c r="H27" s="103">
        <f>F27*(100%-G27)</f>
        <v>0</v>
      </c>
      <c r="I27" s="104"/>
    </row>
    <row r="28" spans="1:16" s="1" customFormat="1" ht="15" customHeight="1" x14ac:dyDescent="0.25">
      <c r="A28" s="73" t="s">
        <v>1</v>
      </c>
      <c r="B28" s="73"/>
      <c r="C28" s="73"/>
      <c r="D28" s="73" t="s">
        <v>2</v>
      </c>
      <c r="E28" s="73"/>
      <c r="F28" s="73"/>
      <c r="G28" s="73"/>
      <c r="H28" s="101">
        <f>SUM(H11:I27)</f>
        <v>0</v>
      </c>
      <c r="I28" s="101"/>
    </row>
    <row r="29" spans="1:16" ht="15" customHeight="1" x14ac:dyDescent="0.25">
      <c r="A29" s="37" t="str">
        <f>ConvertCurrencyToEnglish(H31)</f>
        <v xml:space="preserve"> Only</v>
      </c>
      <c r="B29" s="38"/>
      <c r="C29" s="39"/>
      <c r="D29" s="99" t="s">
        <v>27</v>
      </c>
      <c r="E29" s="100"/>
      <c r="F29" s="10" t="s">
        <v>13</v>
      </c>
      <c r="G29" s="29">
        <f>D30/2</f>
        <v>0.09</v>
      </c>
      <c r="H29" s="98">
        <f>H28*G29</f>
        <v>0</v>
      </c>
      <c r="I29" s="98"/>
      <c r="K29" s="3"/>
      <c r="L29" s="3"/>
      <c r="M29" s="3"/>
      <c r="N29" s="3"/>
    </row>
    <row r="30" spans="1:16" ht="15" customHeight="1" x14ac:dyDescent="0.25">
      <c r="A30" s="40"/>
      <c r="B30" s="41"/>
      <c r="C30" s="42"/>
      <c r="D30" s="84">
        <v>0.18</v>
      </c>
      <c r="E30" s="85"/>
      <c r="F30" s="11" t="s">
        <v>14</v>
      </c>
      <c r="G30" s="29">
        <f>D30/2</f>
        <v>0.09</v>
      </c>
      <c r="H30" s="98">
        <f>H28*G30</f>
        <v>0</v>
      </c>
      <c r="I30" s="98"/>
      <c r="K30" s="12"/>
      <c r="L30" s="3"/>
      <c r="M30" s="3"/>
      <c r="N30" s="3"/>
    </row>
    <row r="31" spans="1:16" ht="15" customHeight="1" x14ac:dyDescent="0.25">
      <c r="A31" s="43"/>
      <c r="B31" s="44"/>
      <c r="C31" s="45"/>
      <c r="D31" s="74" t="s">
        <v>16</v>
      </c>
      <c r="E31" s="75"/>
      <c r="F31" s="75"/>
      <c r="G31" s="76"/>
      <c r="H31" s="80">
        <f>SUM(H28:I30)</f>
        <v>0</v>
      </c>
      <c r="I31" s="81"/>
      <c r="K31" s="12"/>
      <c r="L31" s="3"/>
      <c r="M31" s="3"/>
      <c r="N31" s="3"/>
    </row>
    <row r="32" spans="1:16" ht="15" customHeight="1" x14ac:dyDescent="0.25">
      <c r="A32" s="102" t="s">
        <v>3</v>
      </c>
      <c r="B32" s="102"/>
      <c r="C32" s="102"/>
      <c r="D32" s="77"/>
      <c r="E32" s="78"/>
      <c r="F32" s="78"/>
      <c r="G32" s="79"/>
      <c r="H32" s="82"/>
      <c r="I32" s="83"/>
      <c r="K32" s="3"/>
      <c r="L32" s="3"/>
      <c r="M32" s="3"/>
      <c r="N32" s="3"/>
    </row>
    <row r="33" spans="1:14" ht="63" customHeight="1" x14ac:dyDescent="0.25">
      <c r="A33" s="90" t="s">
        <v>15</v>
      </c>
      <c r="B33" s="91"/>
      <c r="C33" s="91"/>
      <c r="D33" s="91"/>
      <c r="E33" s="91"/>
      <c r="F33" s="92" t="s">
        <v>30</v>
      </c>
      <c r="G33" s="93"/>
      <c r="H33" s="93"/>
      <c r="I33" s="94"/>
      <c r="K33" s="13"/>
      <c r="L33" s="13"/>
      <c r="M33" s="13"/>
      <c r="N33" s="3"/>
    </row>
    <row r="34" spans="1:14" ht="51" customHeight="1" x14ac:dyDescent="0.25">
      <c r="A34" s="90" t="s">
        <v>29</v>
      </c>
      <c r="B34" s="91"/>
      <c r="C34" s="91"/>
      <c r="D34" s="91"/>
      <c r="E34" s="91"/>
      <c r="F34" s="95"/>
      <c r="G34" s="96"/>
      <c r="H34" s="96"/>
      <c r="I34" s="97"/>
      <c r="K34" s="13"/>
      <c r="L34" s="13"/>
      <c r="M34" s="13"/>
      <c r="N34" s="3"/>
    </row>
    <row r="35" spans="1:14" x14ac:dyDescent="0.25">
      <c r="A35" s="87" t="s">
        <v>28</v>
      </c>
      <c r="B35" s="88"/>
      <c r="C35" s="88"/>
      <c r="D35" s="88"/>
      <c r="E35" s="88"/>
      <c r="F35" s="88"/>
      <c r="G35" s="88"/>
      <c r="H35" s="88"/>
      <c r="I35" s="89"/>
      <c r="K35" s="3"/>
      <c r="L35" s="3"/>
      <c r="M35" s="3"/>
      <c r="N35" s="3"/>
    </row>
    <row r="36" spans="1:14" x14ac:dyDescent="0.25">
      <c r="A36" s="31" t="s">
        <v>33</v>
      </c>
      <c r="B36" s="32"/>
      <c r="C36" s="32"/>
      <c r="D36" s="32"/>
      <c r="E36" s="32"/>
      <c r="F36" s="32"/>
      <c r="G36" s="32"/>
      <c r="H36" s="32"/>
      <c r="I36" s="33"/>
      <c r="K36" s="3"/>
      <c r="L36" s="3"/>
      <c r="M36" s="3"/>
      <c r="N36" s="3"/>
    </row>
    <row r="37" spans="1:14" x14ac:dyDescent="0.25">
      <c r="A37" s="34"/>
      <c r="B37" s="35"/>
      <c r="C37" s="35"/>
      <c r="D37" s="35"/>
      <c r="E37" s="35"/>
      <c r="F37" s="35"/>
      <c r="G37" s="35"/>
      <c r="H37" s="35"/>
      <c r="I37" s="36"/>
    </row>
  </sheetData>
  <sheetProtection sheet="1" formatCells="0" formatColumns="0" formatRows="0" insertColumns="0" insertRows="0" insertHyperlinks="0" deleteColumns="0" deleteRows="0" sort="0" autoFilter="0" pivotTables="0"/>
  <protectedRanges>
    <protectedRange sqref="B11 G11:G27 D30 A33:I34 A1 A5:I9 A11 C11:E27 B13:B27 A13:A27" name="USER"/>
  </protectedRanges>
  <mergeCells count="53">
    <mergeCell ref="K16:O17"/>
    <mergeCell ref="A35:I35"/>
    <mergeCell ref="H19:I19"/>
    <mergeCell ref="H18:I18"/>
    <mergeCell ref="H17:I17"/>
    <mergeCell ref="H16:I16"/>
    <mergeCell ref="A33:E33"/>
    <mergeCell ref="F33:I34"/>
    <mergeCell ref="A34:E34"/>
    <mergeCell ref="D28:G28"/>
    <mergeCell ref="H30:I30"/>
    <mergeCell ref="H29:I29"/>
    <mergeCell ref="D29:E29"/>
    <mergeCell ref="H28:I28"/>
    <mergeCell ref="A32:C32"/>
    <mergeCell ref="H27:I27"/>
    <mergeCell ref="H25:I25"/>
    <mergeCell ref="H26:I26"/>
    <mergeCell ref="A28:C28"/>
    <mergeCell ref="D31:G32"/>
    <mergeCell ref="H31:I32"/>
    <mergeCell ref="D30:E30"/>
    <mergeCell ref="H21:I21"/>
    <mergeCell ref="H15:I15"/>
    <mergeCell ref="H22:I22"/>
    <mergeCell ref="H23:I23"/>
    <mergeCell ref="H24:I24"/>
    <mergeCell ref="E9:F9"/>
    <mergeCell ref="H12:I12"/>
    <mergeCell ref="H13:I13"/>
    <mergeCell ref="H14:I14"/>
    <mergeCell ref="H20:I20"/>
    <mergeCell ref="A1:I1"/>
    <mergeCell ref="A2:I2"/>
    <mergeCell ref="A3:I3"/>
    <mergeCell ref="A4:I4"/>
    <mergeCell ref="A5:D5"/>
    <mergeCell ref="A36:I37"/>
    <mergeCell ref="A29:C31"/>
    <mergeCell ref="E5:F5"/>
    <mergeCell ref="E6:F6"/>
    <mergeCell ref="G6:H6"/>
    <mergeCell ref="G5:H5"/>
    <mergeCell ref="B6:D6"/>
    <mergeCell ref="A7:A8"/>
    <mergeCell ref="B7:D8"/>
    <mergeCell ref="B9:D9"/>
    <mergeCell ref="H10:I10"/>
    <mergeCell ref="H11:I11"/>
    <mergeCell ref="E7:F7"/>
    <mergeCell ref="E8:F8"/>
    <mergeCell ref="G9:H9"/>
    <mergeCell ref="G8:H8"/>
  </mergeCells>
  <dataValidations count="2">
    <dataValidation type="list" allowBlank="1" showInputMessage="1" showErrorMessage="1" sqref="H7" xr:uid="{00000000-0002-0000-0000-000000000000}">
      <formula1>"Yes,No"</formula1>
    </dataValidation>
    <dataValidation type="list" allowBlank="1" showInputMessage="1" showErrorMessage="1" sqref="G7" xr:uid="{00000000-0002-0000-0000-000001000000}">
      <formula1>"-,Yes,No"</formula1>
    </dataValidation>
  </dataValidations>
  <pageMargins left="0.51" right="0.35" top="0.84" bottom="0.79166666666666696" header="0.25" footer="0.25"/>
  <pageSetup scale="98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40" r:id="rId4" name="CommandButton6">
          <controlPr defaultSize="0" print="0" autoLine="0" r:id="rId5">
            <anchor>
              <from>
                <xdr:col>9</xdr:col>
                <xdr:colOff>123825</xdr:colOff>
                <xdr:row>0</xdr:row>
                <xdr:rowOff>466725</xdr:rowOff>
              </from>
              <to>
                <xdr:col>11</xdr:col>
                <xdr:colOff>542925</xdr:colOff>
                <xdr:row>0</xdr:row>
                <xdr:rowOff>942975</xdr:rowOff>
              </to>
            </anchor>
          </controlPr>
        </control>
      </mc:Choice>
      <mc:Fallback>
        <control shapeId="1040" r:id="rId4" name="CommandButton6"/>
      </mc:Fallback>
    </mc:AlternateContent>
    <mc:AlternateContent xmlns:mc="http://schemas.openxmlformats.org/markup-compatibility/2006">
      <mc:Choice Requires="x14">
        <control shapeId="1032" r:id="rId6" name="CommandButton1">
          <controlPr defaultSize="0" print="0" autoLine="0" r:id="rId7">
            <anchor>
              <from>
                <xdr:col>9</xdr:col>
                <xdr:colOff>123825</xdr:colOff>
                <xdr:row>2</xdr:row>
                <xdr:rowOff>19050</xdr:rowOff>
              </from>
              <to>
                <xdr:col>11</xdr:col>
                <xdr:colOff>561975</xdr:colOff>
                <xdr:row>4</xdr:row>
                <xdr:rowOff>95250</xdr:rowOff>
              </to>
            </anchor>
          </controlPr>
        </control>
      </mc:Choice>
      <mc:Fallback>
        <control shapeId="1032" r:id="rId6" name="CommandButton1"/>
      </mc:Fallback>
    </mc:AlternateContent>
    <mc:AlternateContent xmlns:mc="http://schemas.openxmlformats.org/markup-compatibility/2006">
      <mc:Choice Requires="x14">
        <control shapeId="1033" r:id="rId8" name="CommandButton2">
          <controlPr defaultSize="0" print="0" autoLine="0" r:id="rId9">
            <anchor>
              <from>
                <xdr:col>9</xdr:col>
                <xdr:colOff>104775</xdr:colOff>
                <xdr:row>5</xdr:row>
                <xdr:rowOff>66675</xdr:rowOff>
              </from>
              <to>
                <xdr:col>11</xdr:col>
                <xdr:colOff>542925</xdr:colOff>
                <xdr:row>8</xdr:row>
                <xdr:rowOff>9525</xdr:rowOff>
              </to>
            </anchor>
          </controlPr>
        </control>
      </mc:Choice>
      <mc:Fallback>
        <control shapeId="1033" r:id="rId8" name="CommandButton2"/>
      </mc:Fallback>
    </mc:AlternateContent>
    <mc:AlternateContent xmlns:mc="http://schemas.openxmlformats.org/markup-compatibility/2006">
      <mc:Choice Requires="x14">
        <control shapeId="1034" r:id="rId10" name="CommandButton3">
          <controlPr defaultSize="0" print="0" autoLine="0" r:id="rId11">
            <anchor>
              <from>
                <xdr:col>9</xdr:col>
                <xdr:colOff>95250</xdr:colOff>
                <xdr:row>8</xdr:row>
                <xdr:rowOff>123825</xdr:rowOff>
              </from>
              <to>
                <xdr:col>11</xdr:col>
                <xdr:colOff>533400</xdr:colOff>
                <xdr:row>10</xdr:row>
                <xdr:rowOff>85725</xdr:rowOff>
              </to>
            </anchor>
          </controlPr>
        </control>
      </mc:Choice>
      <mc:Fallback>
        <control shapeId="1034" r:id="rId10" name="CommandButton3"/>
      </mc:Fallback>
    </mc:AlternateContent>
    <mc:AlternateContent xmlns:mc="http://schemas.openxmlformats.org/markup-compatibility/2006">
      <mc:Choice Requires="x14">
        <control shapeId="1037" r:id="rId12" name="CommandButton4">
          <controlPr defaultSize="0" print="0" autoLine="0" r:id="rId13">
            <anchor>
              <from>
                <xdr:col>9</xdr:col>
                <xdr:colOff>95250</xdr:colOff>
                <xdr:row>10</xdr:row>
                <xdr:rowOff>180975</xdr:rowOff>
              </from>
              <to>
                <xdr:col>11</xdr:col>
                <xdr:colOff>542925</xdr:colOff>
                <xdr:row>13</xdr:row>
                <xdr:rowOff>104775</xdr:rowOff>
              </to>
            </anchor>
          </controlPr>
        </control>
      </mc:Choice>
      <mc:Fallback>
        <control shapeId="1037" r:id="rId12" name="CommandButton4"/>
      </mc:Fallback>
    </mc:AlternateContent>
    <mc:AlternateContent xmlns:mc="http://schemas.openxmlformats.org/markup-compatibility/2006">
      <mc:Choice Requires="x14">
        <control shapeId="1038" r:id="rId14" name="CommandButton5">
          <controlPr defaultSize="0" print="0" autoLine="0" r:id="rId15">
            <anchor>
              <from>
                <xdr:col>12</xdr:col>
                <xdr:colOff>276225</xdr:colOff>
                <xdr:row>10</xdr:row>
                <xdr:rowOff>180975</xdr:rowOff>
              </from>
              <to>
                <xdr:col>14</xdr:col>
                <xdr:colOff>723900</xdr:colOff>
                <xdr:row>13</xdr:row>
                <xdr:rowOff>104775</xdr:rowOff>
              </to>
            </anchor>
          </controlPr>
        </control>
      </mc:Choice>
      <mc:Fallback>
        <control shapeId="1038" r:id="rId14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Sheet1</vt:lpstr>
      <vt:lpstr>cusd</vt:lpstr>
      <vt:lpstr>customer_address</vt:lpstr>
      <vt:lpstr>customer_details</vt:lpstr>
      <vt:lpstr>customer_mobile_or_gstin</vt:lpstr>
      <vt:lpstr>customer_name</vt:lpstr>
      <vt:lpstr>customername</vt:lpstr>
      <vt:lpstr>discount</vt:lpstr>
      <vt:lpstr>hsn</vt:lpstr>
      <vt:lpstr>invoice_number</vt:lpstr>
      <vt:lpstr>invoicenumber</vt:lpstr>
      <vt:lpstr>Sheet1!Print_Area</vt:lpstr>
      <vt:lpstr>product_description</vt:lpstr>
      <vt:lpstr>qty</vt:lpstr>
      <vt:lpstr>rate</vt:lpstr>
      <vt:lpstr>s_no</vt:lpstr>
      <vt:lpstr>total_amount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Sony</dc:creator>
  <cp:lastModifiedBy>charan</cp:lastModifiedBy>
  <cp:lastPrinted>2020-03-18T06:38:07Z</cp:lastPrinted>
  <dcterms:created xsi:type="dcterms:W3CDTF">2017-07-04T09:04:03Z</dcterms:created>
  <dcterms:modified xsi:type="dcterms:W3CDTF">2020-03-18T11:27:02Z</dcterms:modified>
</cp:coreProperties>
</file>